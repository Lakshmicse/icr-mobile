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001441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bgColor rgb="00FDE6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20" customWidth="1" min="4" max="4"/>
    <col width="16" customWidth="1" min="5" max="5"/>
    <col width="18" customWidth="1" min="6" max="6"/>
    <col width="10" customWidth="1" min="7" max="7"/>
    <col width="12" customWidth="1" min="8" max="8"/>
  </cols>
  <sheetData>
    <row r="1">
      <c r="A1" s="1" t="inlineStr">
        <is>
          <t>Vendor SLA scorecard - monthly</t>
        </is>
      </c>
    </row>
    <row r="2">
      <c r="A2" t="inlineStr">
        <is>
          <t>Weights: response 30%, resolution 30%, quality 25%, cost 15%. Score = weighted average (0-100).</t>
        </is>
      </c>
    </row>
    <row r="4">
      <c r="A4" s="2" t="inlineStr">
        <is>
          <t>Vendor</t>
        </is>
      </c>
      <c r="B4" s="2" t="inlineStr">
        <is>
          <t>Service</t>
        </is>
      </c>
      <c r="C4" s="2" t="inlineStr">
        <is>
          <t>Response SLA met %</t>
        </is>
      </c>
      <c r="D4" s="2" t="inlineStr">
        <is>
          <t>Resolution SLA met %</t>
        </is>
      </c>
      <c r="E4" s="2" t="inlineStr">
        <is>
          <t>Quality audit %</t>
        </is>
      </c>
      <c r="F4" s="2" t="inlineStr">
        <is>
          <t>Cost vs budget %</t>
        </is>
      </c>
      <c r="G4" s="2" t="inlineStr">
        <is>
          <t>Score</t>
        </is>
      </c>
      <c r="H4" s="2" t="inlineStr">
        <is>
          <t>Rating</t>
        </is>
      </c>
    </row>
    <row r="5">
      <c r="A5" t="inlineStr">
        <is>
          <t>Brightline Housekeeping</t>
        </is>
      </c>
      <c r="B5" t="inlineStr">
        <is>
          <t>Housekeeping</t>
        </is>
      </c>
      <c r="C5" t="n">
        <v>97</v>
      </c>
      <c r="D5" t="n">
        <v>94</v>
      </c>
      <c r="E5" t="n">
        <v>91</v>
      </c>
      <c r="F5" t="n">
        <v>98</v>
      </c>
      <c r="G5">
        <f>ROUND(C5*0.3+D5*0.3+E5*0.25+100*0.15,1)</f>
        <v/>
      </c>
      <c r="H5">
        <f>IF(G5&gt;=95,"Excellent",IF(G5&gt;=90,"Good",IF(G5&gt;=85,"Watch","Action")))</f>
        <v/>
      </c>
    </row>
    <row r="6">
      <c r="A6" t="inlineStr">
        <is>
          <t>Sentinel Security</t>
        </is>
      </c>
      <c r="B6" t="inlineStr">
        <is>
          <t>Security</t>
        </is>
      </c>
      <c r="C6" t="n">
        <v>99</v>
      </c>
      <c r="D6" t="n">
        <v>96</v>
      </c>
      <c r="E6" t="n">
        <v>93</v>
      </c>
      <c r="F6" t="n">
        <v>100</v>
      </c>
      <c r="G6">
        <f>ROUND(C6*0.3+D6*0.3+E6*0.25+100*0.15,1)</f>
        <v/>
      </c>
      <c r="H6">
        <f>IF(G6&gt;=95,"Excellent",IF(G6&gt;=90,"Good",IF(G6&gt;=85,"Watch","Action")))</f>
        <v/>
      </c>
    </row>
    <row r="7">
      <c r="A7" t="inlineStr">
        <is>
          <t>CoolServe HVAC</t>
        </is>
      </c>
      <c r="B7" t="inlineStr">
        <is>
          <t>HVAC O&amp;M</t>
        </is>
      </c>
      <c r="C7" t="n">
        <v>92</v>
      </c>
      <c r="D7" t="n">
        <v>88</v>
      </c>
      <c r="E7" t="n">
        <v>85</v>
      </c>
      <c r="F7" t="n">
        <v>104</v>
      </c>
      <c r="G7">
        <f>ROUND(C7*0.3+D7*0.3+E7*0.25+96*0.15,1)</f>
        <v/>
      </c>
      <c r="H7">
        <f>IF(G7&gt;=95,"Excellent",IF(G7&gt;=90,"Good",IF(G7&gt;=85,"Watch","Action")))</f>
        <v/>
      </c>
    </row>
    <row r="8">
      <c r="A8" t="inlineStr">
        <is>
          <t>VoltAssure Electrical</t>
        </is>
      </c>
      <c r="B8" t="inlineStr">
        <is>
          <t>Electrical O&amp;M</t>
        </is>
      </c>
      <c r="C8" t="n">
        <v>95</v>
      </c>
      <c r="D8" t="n">
        <v>91</v>
      </c>
      <c r="E8" t="n">
        <v>90</v>
      </c>
      <c r="F8" t="n">
        <v>99</v>
      </c>
      <c r="G8">
        <f>ROUND(C8*0.3+D8*0.3+E8*0.25+100*0.15,1)</f>
        <v/>
      </c>
      <c r="H8">
        <f>IF(G8&gt;=95,"Excellent",IF(G8&gt;=90,"Good",IF(G8&gt;=85,"Watch","Action")))</f>
        <v/>
      </c>
    </row>
    <row r="9">
      <c r="A9" t="inlineStr">
        <is>
          <t>GreenScape</t>
        </is>
      </c>
      <c r="B9" t="inlineStr">
        <is>
          <t>Landscape</t>
        </is>
      </c>
      <c r="C9" t="n">
        <v>98</v>
      </c>
      <c r="D9" t="n">
        <v>97</v>
      </c>
      <c r="E9" t="n">
        <v>88</v>
      </c>
      <c r="F9" t="n">
        <v>96</v>
      </c>
      <c r="G9">
        <f>ROUND(C9*0.3+D9*0.3+E9*0.25+100*0.15,1)</f>
        <v/>
      </c>
      <c r="H9">
        <f>IF(G9&gt;=95,"Excellent",IF(G9&gt;=90,"Good",IF(G9&gt;=85,"Watch","Action")))</f>
        <v/>
      </c>
    </row>
    <row r="10">
      <c r="A10" t="inlineStr">
        <is>
          <t>LiftCare</t>
        </is>
      </c>
      <c r="B10" t="inlineStr">
        <is>
          <t>Lifts</t>
        </is>
      </c>
      <c r="C10" t="n">
        <v>90</v>
      </c>
      <c r="D10" t="n">
        <v>86</v>
      </c>
      <c r="E10" t="n">
        <v>92</v>
      </c>
      <c r="F10" t="n">
        <v>101</v>
      </c>
      <c r="G10">
        <f>ROUND(C10*0.3+D10*0.3+E10*0.25+99*0.15,1)</f>
        <v/>
      </c>
      <c r="H10">
        <f>IF(G10&gt;=95,"Excellent",IF(G10&gt;=90,"Good",IF(G10&gt;=85,"Watch","Action")))</f>
        <v/>
      </c>
    </row>
    <row r="11">
      <c r="A11" t="inlineStr">
        <is>
          <t>PestShield</t>
        </is>
      </c>
      <c r="B11" t="inlineStr">
        <is>
          <t>Pest control</t>
        </is>
      </c>
      <c r="C11" t="n">
        <v>100</v>
      </c>
      <c r="D11" t="n">
        <v>99</v>
      </c>
      <c r="E11" t="n">
        <v>95</v>
      </c>
      <c r="F11" t="n">
        <v>97</v>
      </c>
      <c r="G11">
        <f>ROUND(C11*0.3+D11*0.3+E11*0.25+100*0.15,1)</f>
        <v/>
      </c>
      <c r="H11">
        <f>IF(G11&gt;=95,"Excellent",IF(G11&gt;=90,"Good",IF(G11&gt;=85,"Watch","Action")))</f>
        <v/>
      </c>
    </row>
    <row r="12">
      <c r="A12" t="inlineStr">
        <is>
          <t>CafeOps</t>
        </is>
      </c>
      <c r="B12" t="inlineStr">
        <is>
          <t>Cafeteria</t>
        </is>
      </c>
      <c r="C12" t="n">
        <v>93</v>
      </c>
      <c r="D12" t="n">
        <v>90</v>
      </c>
      <c r="E12" t="n">
        <v>87</v>
      </c>
      <c r="F12" t="n">
        <v>103</v>
      </c>
      <c r="G12">
        <f>ROUND(C12*0.3+D12*0.3+E12*0.25+97*0.15,1)</f>
        <v/>
      </c>
      <c r="H12">
        <f>IF(G12&gt;=95,"Excellent",IF(G12&gt;=90,"Good",IF(G12&gt;=85,"Watch","Action")))</f>
        <v/>
      </c>
    </row>
  </sheetData>
  <conditionalFormatting sqref="G5:G12">
    <cfRule type="cellIs" priority="1" operator="lessThan" dxfId="0">
      <formula>90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2026-10-26T15:30:47Z</dcterms:created>
  <dcterms:modified xmlns:dcterms="http://purl.org/dc/terms/" xmlns:xsi="http://www.w3.org/2001/XMLSchema-instance" xsi:type="dcterms:W3CDTF">2026-10-26T15:30:47Z</dcterms:modified>
</cp:coreProperties>
</file>