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se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41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0" customWidth="1" min="3" max="3"/>
    <col width="36" customWidth="1" min="4" max="4"/>
    <col width="16" customWidth="1" min="5" max="5"/>
    <col width="30" customWidth="1" min="6" max="6"/>
  </cols>
  <sheetData>
    <row r="1">
      <c r="A1" t="inlineStr">
        <is>
          <t>Lease audit workbook - worked example (Tower B, floors 6-9)</t>
        </is>
      </c>
    </row>
    <row r="3">
      <c r="A3" s="1" t="inlineStr">
        <is>
          <t>Clause</t>
        </is>
      </c>
      <c r="B3" s="1" t="inlineStr">
        <is>
          <t>Topic</t>
        </is>
      </c>
      <c r="C3" s="1" t="inlineStr">
        <is>
          <t>Lease says</t>
        </is>
      </c>
      <c r="D3" s="1" t="inlineStr">
        <is>
          <t>Invoice / practice shows</t>
        </is>
      </c>
      <c r="E3" s="1" t="inlineStr">
        <is>
          <t>Variance (Rs)</t>
        </is>
      </c>
      <c r="F3" s="1" t="inlineStr">
        <is>
          <t>Action</t>
        </is>
      </c>
    </row>
    <row r="4">
      <c r="A4" t="inlineStr">
        <is>
          <t>4.2</t>
        </is>
      </c>
      <c r="B4" t="inlineStr">
        <is>
          <t>Base rent</t>
        </is>
      </c>
      <c r="C4" t="inlineStr">
        <is>
          <t>Rs 92 per sq ft per month on 38,400 sq ft</t>
        </is>
      </c>
      <c r="D4" t="inlineStr">
        <is>
          <t>Billed on 39,100 sq ft</t>
        </is>
      </c>
      <c r="E4" t="n">
        <v>64400</v>
      </c>
      <c r="F4" t="inlineStr">
        <is>
          <t>Re-measure and credit</t>
        </is>
      </c>
    </row>
    <row r="5">
      <c r="A5" t="inlineStr">
        <is>
          <t>4.5</t>
        </is>
      </c>
      <c r="B5" t="inlineStr">
        <is>
          <t>Escalation</t>
        </is>
      </c>
      <c r="C5" t="inlineStr">
        <is>
          <t>5% after year 3</t>
        </is>
      </c>
      <c r="D5" t="inlineStr">
        <is>
          <t>Billed at 7.5% from month 25</t>
        </is>
      </c>
      <c r="E5" t="n">
        <v>33800</v>
      </c>
      <c r="F5" t="inlineStr">
        <is>
          <t>Dispute with lease clause</t>
        </is>
      </c>
    </row>
    <row r="6">
      <c r="A6" t="inlineStr">
        <is>
          <t>6.1</t>
        </is>
      </c>
      <c r="B6" t="inlineStr">
        <is>
          <t>CAM charges</t>
        </is>
      </c>
      <c r="C6" t="inlineStr">
        <is>
          <t>Pro rata, capped at 8% a year</t>
        </is>
      </c>
      <c r="D6" t="inlineStr">
        <is>
          <t>No cap applied in year 2</t>
        </is>
      </c>
      <c r="E6" t="n">
        <v>121500</v>
      </c>
      <c r="F6" t="inlineStr">
        <is>
          <t>Request cap application</t>
        </is>
      </c>
    </row>
    <row r="7">
      <c r="A7" t="inlineStr">
        <is>
          <t>7.3</t>
        </is>
      </c>
      <c r="B7" t="inlineStr">
        <is>
          <t>Parking</t>
        </is>
      </c>
      <c r="C7" t="inlineStr">
        <is>
          <t>60 car bays included</t>
        </is>
      </c>
      <c r="D7" t="inlineStr">
        <is>
          <t>48 bays allotted</t>
        </is>
      </c>
      <c r="E7" t="n">
        <v>36000</v>
      </c>
      <c r="F7" t="inlineStr">
        <is>
          <t>Claim 12 bays or rebate</t>
        </is>
      </c>
    </row>
    <row r="8">
      <c r="A8" t="inlineStr">
        <is>
          <t>9.4</t>
        </is>
      </c>
      <c r="B8" t="inlineStr">
        <is>
          <t>Security deposit</t>
        </is>
      </c>
      <c r="C8" t="inlineStr">
        <is>
          <t>6 months, interest bearing</t>
        </is>
      </c>
      <c r="D8" t="inlineStr">
        <is>
          <t>No interest statement</t>
        </is>
      </c>
      <c r="E8" t="n">
        <v>0</v>
      </c>
      <c r="F8" t="inlineStr">
        <is>
          <t>Request statement</t>
        </is>
      </c>
    </row>
    <row r="9">
      <c r="A9" t="inlineStr">
        <is>
          <t>12.1</t>
        </is>
      </c>
      <c r="B9" t="inlineStr">
        <is>
          <t>Repairs and restoration</t>
        </is>
      </c>
      <c r="C9" t="inlineStr">
        <is>
          <t>Reasonable wear excepted</t>
        </is>
      </c>
      <c r="D9" t="inlineStr">
        <is>
          <t>Not yet assessed</t>
        </is>
      </c>
      <c r="F9" t="inlineStr">
        <is>
          <t>Schedule joint inspection</t>
        </is>
      </c>
    </row>
    <row r="11">
      <c r="A11" t="inlineStr"/>
      <c r="B11" t="inlineStr"/>
      <c r="C11" t="inlineStr"/>
      <c r="D11" t="inlineStr">
        <is>
          <t>Total variance</t>
        </is>
      </c>
      <c r="E11">
        <f>SUM(E4:E9)</f>
        <v/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2026-10-26T15:30:47Z</dcterms:created>
  <dcterms:modified xmlns:dcterms="http://purl.org/dc/terms/" xmlns:xsi="http://www.w3.org/2001/XMLSchema-instance" xsi:type="dcterms:W3CDTF">2026-10-26T15:30:47Z</dcterms:modified>
</cp:coreProperties>
</file>